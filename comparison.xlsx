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ian\OneDrive\桌面\專題\"/>
    </mc:Choice>
  </mc:AlternateContent>
  <xr:revisionPtr revIDLastSave="0" documentId="13_ncr:1_{FB64BD11-1478-464A-92FA-B0644F12FD4B}" xr6:coauthVersionLast="47" xr6:coauthVersionMax="47" xr10:uidLastSave="{00000000-0000-0000-0000-000000000000}"/>
  <bookViews>
    <workbookView xWindow="-108" yWindow="-108" windowWidth="23256" windowHeight="13176" activeTab="1" xr2:uid="{86F6F50A-C1A6-43BB-9B6D-3F1D86EA4F6C}"/>
  </bookViews>
  <sheets>
    <sheet name="CNN classification" sheetId="1" r:id="rId1"/>
    <sheet name="Transformer classification" sheetId="3" r:id="rId2"/>
    <sheet name="CNN regression" sheetId="2" r:id="rId3"/>
    <sheet name="Transformer regress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2" i="1"/>
  <c r="C2" i="1"/>
  <c r="D2" i="1"/>
  <c r="E2" i="1"/>
  <c r="B2" i="1"/>
  <c r="B12" i="2"/>
  <c r="B3" i="2"/>
  <c r="C3" i="2"/>
  <c r="B4" i="2"/>
  <c r="C4" i="2"/>
  <c r="B5" i="2"/>
  <c r="C5" i="2"/>
  <c r="B7" i="2"/>
  <c r="C7" i="2"/>
  <c r="B8" i="2"/>
  <c r="C8" i="2"/>
  <c r="B9" i="2"/>
  <c r="C9" i="2"/>
  <c r="B10" i="2"/>
  <c r="C10" i="2"/>
  <c r="C12" i="2"/>
  <c r="B13" i="2"/>
  <c r="C13" i="2"/>
  <c r="B14" i="2"/>
  <c r="C14" i="2"/>
  <c r="B15" i="2"/>
  <c r="C15" i="2"/>
  <c r="C2" i="2"/>
  <c r="B2" i="2"/>
  <c r="G13" i="2"/>
  <c r="G7" i="2"/>
  <c r="G3" i="2"/>
  <c r="G4" i="2"/>
  <c r="G5" i="2"/>
  <c r="G8" i="2"/>
  <c r="G9" i="2"/>
  <c r="G10" i="2"/>
  <c r="G12" i="2"/>
  <c r="G14" i="2"/>
  <c r="G15" i="2"/>
  <c r="G2" i="2"/>
</calcChain>
</file>

<file path=xl/sharedStrings.xml><?xml version="1.0" encoding="utf-8"?>
<sst xmlns="http://schemas.openxmlformats.org/spreadsheetml/2006/main" count="93" uniqueCount="22">
  <si>
    <t>Accuracy</t>
  </si>
  <si>
    <t>Sensitivity</t>
  </si>
  <si>
    <t>Specificity</t>
  </si>
  <si>
    <t>PPV</t>
  </si>
  <si>
    <t>NPV</t>
  </si>
  <si>
    <t>non</t>
  </si>
  <si>
    <t>non-multi</t>
  </si>
  <si>
    <t>20min</t>
  </si>
  <si>
    <t>invasive</t>
  </si>
  <si>
    <t>invasive-multi</t>
  </si>
  <si>
    <t>25min</t>
  </si>
  <si>
    <t>30min</t>
  </si>
  <si>
    <t>MAE</t>
  </si>
  <si>
    <t>IQM</t>
  </si>
  <si>
    <t>std</t>
    <phoneticPr fontId="1" type="noConversion"/>
  </si>
  <si>
    <t>TN</t>
    <phoneticPr fontId="1" type="noConversion"/>
  </si>
  <si>
    <t>FN</t>
    <phoneticPr fontId="1" type="noConversion"/>
  </si>
  <si>
    <t>FP</t>
    <phoneticPr fontId="1" type="noConversion"/>
  </si>
  <si>
    <t>TP</t>
    <phoneticPr fontId="1" type="noConversion"/>
  </si>
  <si>
    <t>1(hypo)</t>
    <phoneticPr fontId="1" type="noConversion"/>
  </si>
  <si>
    <t>0(normal)</t>
    <phoneticPr fontId="1" type="noConversion"/>
  </si>
  <si>
    <t>seed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</si>
</sst>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2" fontId="0" fillId="0" borderId="0" xfId="0" applyNumberFormat="1">
      <alignment vertical="center"/>
    </xf>
    <xf numFmtId="2" fontId="0" fillId="2" borderId="0" xfId="0" applyNumberFormat="1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365760</xdr:colOff>
      <xdr:row>4</xdr:row>
      <xdr:rowOff>137160</xdr:rowOff>
    </xdr:from>
    <xdr:to>
      <xdr:col>14</xdr:col>
      <xdr:colOff>367850</xdr:colOff>
      <xdr:row>7</xdr:row>
      <xdr:rowOff>83820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3E621F4-FE9D-D773-E025-855982504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62600" y="960120"/>
          <a:ext cx="3659690" cy="5638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03FA-5434-4FD2-A2FE-0CC12C6410F4}">
  <dimension ref="A1:R31"/>
  <sheetViews>
    <sheetView topLeftCell="A11" workbookViewId="0">
      <selection activeCell="C6" sqref="C6"/>
    </sheetView>
  </sheetViews>
  <sheetFormatPr defaultRowHeight="16.2" x14ac:dyDescent="0.3"/>
  <cols>
    <col min="1" max="1" width="13.5546875" bestFit="1" customWidth="1"/>
    <col min="2" max="2" width="9.33203125" bestFit="1" customWidth="1"/>
    <col min="3" max="3" width="10.109375" bestFit="1" customWidth="1"/>
    <col min="4" max="4" width="10.21875" bestFit="1" customWidth="1"/>
    <col min="16" max="16" width="12.109375" bestFit="1" customWidth="1"/>
  </cols>
  <sheetData>
    <row r="1" spans="1:12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2" x14ac:dyDescent="0.3">
      <c r="A2" t="s">
        <v>5</v>
      </c>
      <c r="B2" s="2">
        <f>AVERAGE(B18,H18,N18)</f>
        <v>0.71666666666666667</v>
      </c>
      <c r="C2" s="1">
        <f t="shared" ref="C2:E2" si="0">AVERAGE(C18,I18,O18)</f>
        <v>0.49000000000000005</v>
      </c>
      <c r="D2" s="2">
        <f t="shared" si="0"/>
        <v>0.84</v>
      </c>
      <c r="E2" s="2">
        <f t="shared" si="0"/>
        <v>0.64333333333333342</v>
      </c>
      <c r="F2" s="1">
        <f>AVERAGE(F18,L18,R18)</f>
        <v>0.75</v>
      </c>
      <c r="H2" t="s">
        <v>7</v>
      </c>
    </row>
    <row r="3" spans="1:12" x14ac:dyDescent="0.3">
      <c r="A3" t="s">
        <v>6</v>
      </c>
      <c r="B3" s="2">
        <f t="shared" ref="B3:B15" si="1">AVERAGE(B19,H19,N19)</f>
        <v>0.73</v>
      </c>
      <c r="C3" s="1">
        <f t="shared" ref="C3:C15" si="2">AVERAGE(C19,I19,O19)</f>
        <v>0.6366666666666666</v>
      </c>
      <c r="D3" s="2">
        <f t="shared" ref="D3:D15" si="3">AVERAGE(D19,J19,P19)</f>
        <v>0.78333333333333333</v>
      </c>
      <c r="E3" s="2">
        <f t="shared" ref="E3:F15" si="4">AVERAGE(E19,K19,Q19)</f>
        <v>0.62333333333333341</v>
      </c>
      <c r="F3" s="1">
        <f t="shared" si="4"/>
        <v>0.79666666666666675</v>
      </c>
    </row>
    <row r="4" spans="1:12" x14ac:dyDescent="0.3">
      <c r="A4" t="s">
        <v>8</v>
      </c>
      <c r="B4" s="2">
        <f t="shared" si="1"/>
        <v>0.82666666666666666</v>
      </c>
      <c r="C4" s="1">
        <f t="shared" si="2"/>
        <v>0.60000000000000009</v>
      </c>
      <c r="D4" s="2">
        <f t="shared" si="3"/>
        <v>0.95000000000000007</v>
      </c>
      <c r="E4" s="2">
        <f t="shared" si="4"/>
        <v>0.88</v>
      </c>
      <c r="F4" s="1">
        <f t="shared" ref="F4:F14" si="5">AVERAGE(F20,L20,R20)</f>
        <v>0.81333333333333335</v>
      </c>
    </row>
    <row r="5" spans="1:12" x14ac:dyDescent="0.3">
      <c r="A5" t="s">
        <v>9</v>
      </c>
      <c r="B5" s="2">
        <f t="shared" si="1"/>
        <v>0.83666666666666656</v>
      </c>
      <c r="C5" s="1">
        <f t="shared" si="2"/>
        <v>0.63666666666666671</v>
      </c>
      <c r="D5" s="2">
        <f t="shared" si="3"/>
        <v>0.93666666666666665</v>
      </c>
      <c r="E5" s="2">
        <f t="shared" si="4"/>
        <v>0.85</v>
      </c>
      <c r="F5" s="1">
        <f t="shared" si="5"/>
        <v>0.82333333333333336</v>
      </c>
    </row>
    <row r="6" spans="1:12" x14ac:dyDescent="0.3">
      <c r="B6" s="1"/>
      <c r="C6" s="1"/>
      <c r="D6" s="1"/>
      <c r="E6" s="1"/>
      <c r="F6" s="1"/>
    </row>
    <row r="7" spans="1:12" x14ac:dyDescent="0.3">
      <c r="A7" t="s">
        <v>5</v>
      </c>
      <c r="B7" s="2">
        <f t="shared" si="1"/>
        <v>0.70333333333333325</v>
      </c>
      <c r="C7" s="1">
        <f t="shared" si="2"/>
        <v>0.48333333333333339</v>
      </c>
      <c r="D7" s="2">
        <f t="shared" si="3"/>
        <v>0.81666666666666654</v>
      </c>
      <c r="E7" s="2">
        <f t="shared" si="4"/>
        <v>0.59</v>
      </c>
      <c r="F7" s="1">
        <f t="shared" si="5"/>
        <v>0.75666666666666671</v>
      </c>
      <c r="H7" t="s">
        <v>10</v>
      </c>
    </row>
    <row r="8" spans="1:12" x14ac:dyDescent="0.3">
      <c r="A8" t="s">
        <v>6</v>
      </c>
      <c r="B8" s="2">
        <f t="shared" si="1"/>
        <v>0.72333333333333327</v>
      </c>
      <c r="C8" s="1">
        <f t="shared" si="2"/>
        <v>0.46333333333333337</v>
      </c>
      <c r="D8" s="2">
        <f t="shared" si="3"/>
        <v>0.8666666666666667</v>
      </c>
      <c r="E8" s="2">
        <f t="shared" si="4"/>
        <v>0.64999999999999991</v>
      </c>
      <c r="F8" s="1">
        <f t="shared" si="5"/>
        <v>0.7533333333333333</v>
      </c>
    </row>
    <row r="9" spans="1:12" x14ac:dyDescent="0.3">
      <c r="A9" t="s">
        <v>8</v>
      </c>
      <c r="B9" s="2">
        <f t="shared" si="1"/>
        <v>0.77999999999999992</v>
      </c>
      <c r="C9" s="1">
        <f t="shared" si="2"/>
        <v>0.45999999999999996</v>
      </c>
      <c r="D9" s="2">
        <f t="shared" si="3"/>
        <v>0.94333333333333336</v>
      </c>
      <c r="E9" s="2">
        <f t="shared" si="4"/>
        <v>0.81666666666666676</v>
      </c>
      <c r="F9" s="1">
        <f t="shared" si="5"/>
        <v>0.77333333333333343</v>
      </c>
    </row>
    <row r="10" spans="1:12" x14ac:dyDescent="0.3">
      <c r="A10" t="s">
        <v>9</v>
      </c>
      <c r="B10" s="2">
        <f t="shared" si="1"/>
        <v>0.80333333333333334</v>
      </c>
      <c r="C10" s="1">
        <f t="shared" si="2"/>
        <v>0.622</v>
      </c>
      <c r="D10" s="2">
        <f t="shared" si="3"/>
        <v>0.89333333333333342</v>
      </c>
      <c r="E10" s="2">
        <f t="shared" si="4"/>
        <v>0.76000000000000012</v>
      </c>
      <c r="F10" s="1">
        <f t="shared" si="5"/>
        <v>0.82</v>
      </c>
    </row>
    <row r="11" spans="1:12" x14ac:dyDescent="0.3">
      <c r="B11" s="1"/>
      <c r="C11" s="1"/>
      <c r="D11" s="1"/>
      <c r="E11" s="1"/>
      <c r="F11" s="1"/>
      <c r="K11" t="s">
        <v>20</v>
      </c>
      <c r="L11" t="s">
        <v>19</v>
      </c>
    </row>
    <row r="12" spans="1:12" x14ac:dyDescent="0.3">
      <c r="A12" t="s">
        <v>5</v>
      </c>
      <c r="B12" s="2">
        <f t="shared" si="1"/>
        <v>0.69999999999999984</v>
      </c>
      <c r="C12" s="1">
        <f t="shared" si="2"/>
        <v>0.45999999999999996</v>
      </c>
      <c r="D12" s="2">
        <f t="shared" si="3"/>
        <v>0.80333333333333334</v>
      </c>
      <c r="E12" s="2">
        <f t="shared" si="4"/>
        <v>0.55999999999999994</v>
      </c>
      <c r="F12" s="1">
        <f t="shared" si="5"/>
        <v>0.76666666666666661</v>
      </c>
      <c r="H12" t="s">
        <v>11</v>
      </c>
      <c r="J12" t="s">
        <v>20</v>
      </c>
      <c r="K12" t="s">
        <v>15</v>
      </c>
      <c r="L12" t="s">
        <v>17</v>
      </c>
    </row>
    <row r="13" spans="1:12" x14ac:dyDescent="0.3">
      <c r="A13" t="s">
        <v>6</v>
      </c>
      <c r="B13" s="2">
        <f t="shared" si="1"/>
        <v>0.72333333333333327</v>
      </c>
      <c r="C13" s="1">
        <f t="shared" si="2"/>
        <v>0.41</v>
      </c>
      <c r="D13" s="2">
        <f t="shared" si="3"/>
        <v>0.87333333333333341</v>
      </c>
      <c r="E13" s="2">
        <f t="shared" si="4"/>
        <v>0.63</v>
      </c>
      <c r="F13" s="1">
        <f t="shared" si="5"/>
        <v>0.75666666666666671</v>
      </c>
      <c r="J13" t="s">
        <v>19</v>
      </c>
      <c r="K13" t="s">
        <v>16</v>
      </c>
      <c r="L13" t="s">
        <v>18</v>
      </c>
    </row>
    <row r="14" spans="1:12" x14ac:dyDescent="0.3">
      <c r="A14" t="s">
        <v>8</v>
      </c>
      <c r="B14" s="2">
        <f t="shared" si="1"/>
        <v>0.77666666666666673</v>
      </c>
      <c r="C14" s="1">
        <f t="shared" si="2"/>
        <v>0.52666666666666673</v>
      </c>
      <c r="D14" s="2">
        <f t="shared" si="3"/>
        <v>0.9</v>
      </c>
      <c r="E14" s="2">
        <f t="shared" si="4"/>
        <v>0.72333333333333327</v>
      </c>
      <c r="F14" s="1">
        <f t="shared" si="5"/>
        <v>0.79666666666666652</v>
      </c>
    </row>
    <row r="15" spans="1:12" x14ac:dyDescent="0.3">
      <c r="A15" t="s">
        <v>9</v>
      </c>
      <c r="B15" s="2">
        <f t="shared" si="1"/>
        <v>0.78666666666666674</v>
      </c>
      <c r="C15" s="1">
        <f t="shared" si="2"/>
        <v>0.59666666666666668</v>
      </c>
      <c r="D15" s="2">
        <f t="shared" si="3"/>
        <v>0.87333333333333341</v>
      </c>
      <c r="E15" s="2">
        <f t="shared" si="4"/>
        <v>0.69999999999999984</v>
      </c>
      <c r="F15" s="1">
        <f>AVERAGE(F31,L31,R31)</f>
        <v>0.82</v>
      </c>
    </row>
    <row r="17" spans="1:18" x14ac:dyDescent="0.3">
      <c r="A17" t="s">
        <v>21</v>
      </c>
      <c r="B17">
        <v>42</v>
      </c>
      <c r="H17">
        <v>43</v>
      </c>
      <c r="N17">
        <v>44</v>
      </c>
    </row>
    <row r="18" spans="1:18" x14ac:dyDescent="0.3">
      <c r="B18" s="1">
        <v>0.71</v>
      </c>
      <c r="C18" s="1">
        <v>0.64</v>
      </c>
      <c r="D18" s="1">
        <v>0.75</v>
      </c>
      <c r="E18" s="1">
        <v>0.59</v>
      </c>
      <c r="F18" s="1">
        <v>0.78</v>
      </c>
      <c r="H18" s="1">
        <v>0.72</v>
      </c>
      <c r="I18" s="1">
        <v>0.45</v>
      </c>
      <c r="J18" s="1">
        <v>0.87</v>
      </c>
      <c r="K18" s="1">
        <v>0.66</v>
      </c>
      <c r="L18" s="1">
        <v>0.74</v>
      </c>
      <c r="N18" s="1">
        <v>0.72</v>
      </c>
      <c r="O18" s="1">
        <v>0.38</v>
      </c>
      <c r="P18" s="1">
        <v>0.9</v>
      </c>
      <c r="Q18" s="1">
        <v>0.68</v>
      </c>
      <c r="R18" s="1">
        <v>0.73</v>
      </c>
    </row>
    <row r="19" spans="1:18" x14ac:dyDescent="0.3">
      <c r="B19" s="1">
        <v>0.7</v>
      </c>
      <c r="C19" s="1">
        <v>0.7</v>
      </c>
      <c r="D19" s="1">
        <v>0.71</v>
      </c>
      <c r="E19" s="1">
        <v>0.56999999999999995</v>
      </c>
      <c r="F19" s="1">
        <v>0.8</v>
      </c>
      <c r="H19" s="1">
        <v>0.75</v>
      </c>
      <c r="I19" s="1">
        <v>0.6</v>
      </c>
      <c r="J19" s="1">
        <v>0.83</v>
      </c>
      <c r="K19" s="1">
        <v>0.66</v>
      </c>
      <c r="L19" s="1">
        <v>0.79</v>
      </c>
      <c r="N19" s="1">
        <v>0.74</v>
      </c>
      <c r="O19" s="1">
        <v>0.61</v>
      </c>
      <c r="P19" s="1">
        <v>0.81</v>
      </c>
      <c r="Q19" s="1">
        <v>0.64</v>
      </c>
      <c r="R19" s="1">
        <v>0.8</v>
      </c>
    </row>
    <row r="20" spans="1:18" x14ac:dyDescent="0.3">
      <c r="B20" s="1">
        <v>0.82</v>
      </c>
      <c r="C20" s="1">
        <v>0.54</v>
      </c>
      <c r="D20" s="1">
        <v>0.98</v>
      </c>
      <c r="E20" s="1">
        <v>0.93</v>
      </c>
      <c r="F20" s="1">
        <v>0.79</v>
      </c>
      <c r="H20" s="1">
        <v>0.83</v>
      </c>
      <c r="I20" s="1">
        <v>0.68</v>
      </c>
      <c r="J20" s="1">
        <v>0.91</v>
      </c>
      <c r="K20" s="1">
        <v>0.81</v>
      </c>
      <c r="L20" s="1">
        <v>0.84</v>
      </c>
      <c r="N20" s="1">
        <v>0.83</v>
      </c>
      <c r="O20" s="1">
        <v>0.57999999999999996</v>
      </c>
      <c r="P20" s="1">
        <v>0.96</v>
      </c>
      <c r="Q20" s="1">
        <v>0.9</v>
      </c>
      <c r="R20" s="1">
        <v>0.81</v>
      </c>
    </row>
    <row r="21" spans="1:18" x14ac:dyDescent="0.3">
      <c r="B21" s="1">
        <v>0.83</v>
      </c>
      <c r="C21" s="1">
        <v>0.6</v>
      </c>
      <c r="D21" s="1">
        <v>0.95</v>
      </c>
      <c r="E21" s="1">
        <v>0.88</v>
      </c>
      <c r="F21" s="1">
        <v>0.81</v>
      </c>
      <c r="H21" s="1">
        <v>0.84</v>
      </c>
      <c r="I21" s="1">
        <v>0.67</v>
      </c>
      <c r="J21" s="1">
        <v>0.92</v>
      </c>
      <c r="K21" s="1">
        <v>0.83</v>
      </c>
      <c r="L21" s="1">
        <v>0.83</v>
      </c>
      <c r="N21" s="1">
        <v>0.84</v>
      </c>
      <c r="O21" s="1">
        <v>0.64</v>
      </c>
      <c r="P21" s="1">
        <v>0.94</v>
      </c>
      <c r="Q21" s="1">
        <v>0.84</v>
      </c>
      <c r="R21" s="1">
        <v>0.83</v>
      </c>
    </row>
    <row r="23" spans="1:18" x14ac:dyDescent="0.3">
      <c r="B23" s="1">
        <v>0.69</v>
      </c>
      <c r="C23" s="1">
        <v>0.68</v>
      </c>
      <c r="D23" s="1">
        <v>0.69</v>
      </c>
      <c r="E23" s="1">
        <v>0.54</v>
      </c>
      <c r="F23" s="1">
        <v>0.8</v>
      </c>
      <c r="H23" s="1">
        <v>0.72</v>
      </c>
      <c r="I23" s="1">
        <v>0.46</v>
      </c>
      <c r="J23" s="1">
        <v>0.86</v>
      </c>
      <c r="K23" s="1">
        <v>0.63</v>
      </c>
      <c r="L23" s="1">
        <v>0.75</v>
      </c>
      <c r="N23" s="1">
        <v>0.7</v>
      </c>
      <c r="O23" s="1">
        <v>0.31</v>
      </c>
      <c r="P23" s="1">
        <v>0.9</v>
      </c>
      <c r="Q23" s="1">
        <v>0.6</v>
      </c>
      <c r="R23" s="1">
        <v>0.72</v>
      </c>
    </row>
    <row r="24" spans="1:18" x14ac:dyDescent="0.3">
      <c r="B24" s="1">
        <v>0.72</v>
      </c>
      <c r="C24" s="1">
        <v>0.38</v>
      </c>
      <c r="D24" s="1">
        <v>0.93</v>
      </c>
      <c r="E24" s="1">
        <v>0.72</v>
      </c>
      <c r="F24" s="1">
        <v>0.72</v>
      </c>
      <c r="H24" s="1">
        <v>0.74</v>
      </c>
      <c r="I24" s="1">
        <v>0.62</v>
      </c>
      <c r="J24" s="1">
        <v>0.8</v>
      </c>
      <c r="K24" s="1">
        <v>0.62</v>
      </c>
      <c r="L24" s="1">
        <v>0.8</v>
      </c>
      <c r="N24" s="1">
        <v>0.71</v>
      </c>
      <c r="O24" s="1">
        <v>0.39</v>
      </c>
      <c r="P24" s="1">
        <v>0.87</v>
      </c>
      <c r="Q24" s="1">
        <v>0.61</v>
      </c>
      <c r="R24" s="1">
        <v>0.74</v>
      </c>
    </row>
    <row r="25" spans="1:18" x14ac:dyDescent="0.3">
      <c r="B25" s="1">
        <v>0.78</v>
      </c>
      <c r="C25" s="1">
        <v>0.51</v>
      </c>
      <c r="D25" s="1">
        <v>0.92</v>
      </c>
      <c r="E25" s="1">
        <v>0.78</v>
      </c>
      <c r="F25" s="1">
        <v>0.78</v>
      </c>
      <c r="H25" s="1">
        <v>0.77</v>
      </c>
      <c r="I25" s="1">
        <v>0.38</v>
      </c>
      <c r="J25" s="1">
        <v>0.97</v>
      </c>
      <c r="K25" s="1">
        <v>0.87</v>
      </c>
      <c r="L25" s="1">
        <v>0.75</v>
      </c>
      <c r="N25" s="1">
        <v>0.79</v>
      </c>
      <c r="O25" s="1">
        <v>0.49</v>
      </c>
      <c r="P25" s="1">
        <v>0.94</v>
      </c>
      <c r="Q25" s="1">
        <v>0.8</v>
      </c>
      <c r="R25" s="1">
        <v>0.79</v>
      </c>
    </row>
    <row r="26" spans="1:18" x14ac:dyDescent="0.3">
      <c r="B26" s="1">
        <v>0.8</v>
      </c>
      <c r="C26" s="1">
        <v>0.55600000000000005</v>
      </c>
      <c r="D26" s="1">
        <v>0.92</v>
      </c>
      <c r="E26" s="1">
        <v>0.8</v>
      </c>
      <c r="F26" s="1">
        <v>0.8</v>
      </c>
      <c r="H26" s="1">
        <v>0.81</v>
      </c>
      <c r="I26" s="1">
        <v>0.66</v>
      </c>
      <c r="J26" s="1">
        <v>0.88</v>
      </c>
      <c r="K26" s="1">
        <v>0.75</v>
      </c>
      <c r="L26" s="1">
        <v>0.83</v>
      </c>
      <c r="N26" s="1">
        <v>0.8</v>
      </c>
      <c r="O26" s="1">
        <v>0.65</v>
      </c>
      <c r="P26" s="1">
        <v>0.88</v>
      </c>
      <c r="Q26" s="1">
        <v>0.73</v>
      </c>
      <c r="R26" s="1">
        <v>0.83</v>
      </c>
    </row>
    <row r="28" spans="1:18" x14ac:dyDescent="0.3">
      <c r="B28" s="1">
        <v>0.69</v>
      </c>
      <c r="C28" s="1">
        <v>0.6</v>
      </c>
      <c r="D28" s="1">
        <v>0.74</v>
      </c>
      <c r="E28" s="1">
        <v>0.55000000000000004</v>
      </c>
      <c r="F28" s="1">
        <v>0.78</v>
      </c>
      <c r="H28" s="1">
        <v>0.72</v>
      </c>
      <c r="I28" s="1">
        <v>0.14000000000000001</v>
      </c>
      <c r="J28" s="1">
        <v>0.96</v>
      </c>
      <c r="K28" s="1">
        <v>0.62</v>
      </c>
      <c r="L28" s="1">
        <v>0.72</v>
      </c>
      <c r="N28" s="1">
        <v>0.69</v>
      </c>
      <c r="O28" s="1">
        <v>0.64</v>
      </c>
      <c r="P28" s="1">
        <v>0.71</v>
      </c>
      <c r="Q28" s="1">
        <v>0.51</v>
      </c>
      <c r="R28" s="1">
        <v>0.8</v>
      </c>
    </row>
    <row r="29" spans="1:18" x14ac:dyDescent="0.3">
      <c r="B29" s="1">
        <v>0.72</v>
      </c>
      <c r="C29" s="1">
        <v>0.49</v>
      </c>
      <c r="D29" s="1">
        <v>0.84</v>
      </c>
      <c r="E29" s="1">
        <v>0.62</v>
      </c>
      <c r="F29" s="1">
        <v>0.76</v>
      </c>
      <c r="H29" s="1">
        <v>0.73</v>
      </c>
      <c r="I29" s="1">
        <v>0.5</v>
      </c>
      <c r="J29" s="1">
        <v>0.83</v>
      </c>
      <c r="K29" s="1">
        <v>0.55000000000000004</v>
      </c>
      <c r="L29" s="1">
        <v>0.79</v>
      </c>
      <c r="N29" s="1">
        <v>0.72</v>
      </c>
      <c r="O29" s="1">
        <v>0.24</v>
      </c>
      <c r="P29" s="1">
        <v>0.95</v>
      </c>
      <c r="Q29" s="1">
        <v>0.72</v>
      </c>
      <c r="R29" s="1">
        <v>0.72</v>
      </c>
    </row>
    <row r="30" spans="1:18" x14ac:dyDescent="0.3">
      <c r="B30" s="1">
        <v>0.76</v>
      </c>
      <c r="C30" s="1">
        <v>0.45</v>
      </c>
      <c r="D30" s="1">
        <v>0.93</v>
      </c>
      <c r="E30" s="1">
        <v>0.77</v>
      </c>
      <c r="F30" s="1">
        <v>0.76</v>
      </c>
      <c r="H30" s="1">
        <v>0.78</v>
      </c>
      <c r="I30" s="1">
        <v>0.59</v>
      </c>
      <c r="J30" s="1">
        <v>0.86</v>
      </c>
      <c r="K30" s="1">
        <v>0.65</v>
      </c>
      <c r="L30" s="1">
        <v>0.83</v>
      </c>
      <c r="N30" s="1">
        <v>0.79</v>
      </c>
      <c r="O30" s="1">
        <v>0.54</v>
      </c>
      <c r="P30" s="1">
        <v>0.91</v>
      </c>
      <c r="Q30" s="1">
        <v>0.75</v>
      </c>
      <c r="R30" s="1">
        <v>0.8</v>
      </c>
    </row>
    <row r="31" spans="1:18" x14ac:dyDescent="0.3">
      <c r="B31" s="1">
        <v>0.77</v>
      </c>
      <c r="C31" s="1">
        <v>0.59</v>
      </c>
      <c r="D31" s="1">
        <v>0.87</v>
      </c>
      <c r="E31" s="1">
        <v>0.7</v>
      </c>
      <c r="F31" s="1">
        <v>0.8</v>
      </c>
      <c r="H31" s="1">
        <v>0.8</v>
      </c>
      <c r="I31" s="1">
        <v>0.56999999999999995</v>
      </c>
      <c r="J31" s="1">
        <v>0.89</v>
      </c>
      <c r="K31" s="1">
        <v>0.71</v>
      </c>
      <c r="L31" s="1">
        <v>0.83</v>
      </c>
      <c r="N31" s="1">
        <v>0.79</v>
      </c>
      <c r="O31" s="1">
        <v>0.63</v>
      </c>
      <c r="P31" s="1">
        <v>0.86</v>
      </c>
      <c r="Q31" s="1">
        <v>0.69</v>
      </c>
      <c r="R31" s="1">
        <v>0.83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DBB6-FDD9-424B-9A1B-BEA6F33E1BEF}">
  <dimension ref="A1:L15"/>
  <sheetViews>
    <sheetView tabSelected="1" workbookViewId="0">
      <selection activeCell="I15" sqref="I15"/>
    </sheetView>
  </sheetViews>
  <sheetFormatPr defaultRowHeight="16.2" x14ac:dyDescent="0.3"/>
  <cols>
    <col min="1" max="1" width="13.5546875" bestFit="1" customWidth="1"/>
    <col min="2" max="2" width="9.33203125" bestFit="1" customWidth="1"/>
    <col min="3" max="3" width="10.109375" bestFit="1" customWidth="1"/>
    <col min="4" max="4" width="10.21875" bestFit="1" customWidth="1"/>
    <col min="16" max="16" width="12.109375" bestFit="1" customWidth="1"/>
  </cols>
  <sheetData>
    <row r="1" spans="1:12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2" x14ac:dyDescent="0.3">
      <c r="A2" t="s">
        <v>5</v>
      </c>
      <c r="B2" s="1">
        <v>0.68</v>
      </c>
      <c r="C2" s="2">
        <v>0.52333333333333332</v>
      </c>
      <c r="D2" s="1">
        <v>0.76333333333333331</v>
      </c>
      <c r="E2" s="1">
        <v>0.58333333333333337</v>
      </c>
      <c r="F2" s="2">
        <v>0.77666666666666673</v>
      </c>
      <c r="H2" t="s">
        <v>7</v>
      </c>
    </row>
    <row r="3" spans="1:12" x14ac:dyDescent="0.3">
      <c r="A3" t="s">
        <v>6</v>
      </c>
      <c r="B3" s="1">
        <v>0.70666666666666667</v>
      </c>
      <c r="C3" s="2">
        <v>0.76000000000000012</v>
      </c>
      <c r="D3" s="1">
        <v>0.68</v>
      </c>
      <c r="E3" s="1">
        <v>0.55666666666666664</v>
      </c>
      <c r="F3" s="2">
        <v>0.84333333333333327</v>
      </c>
    </row>
    <row r="4" spans="1:12" x14ac:dyDescent="0.3">
      <c r="A4" t="s">
        <v>8</v>
      </c>
      <c r="B4" s="1">
        <v>0.82333333333333325</v>
      </c>
      <c r="C4" s="2">
        <v>0.68666666666666665</v>
      </c>
      <c r="D4" s="1">
        <v>0.9</v>
      </c>
      <c r="E4" s="1">
        <v>0.78333333333333333</v>
      </c>
      <c r="F4" s="2">
        <v>0.84666666666666668</v>
      </c>
    </row>
    <row r="5" spans="1:12" x14ac:dyDescent="0.3">
      <c r="A5" t="s">
        <v>9</v>
      </c>
      <c r="B5" s="1">
        <v>0.83333333333333337</v>
      </c>
      <c r="C5" s="2">
        <v>0.73</v>
      </c>
      <c r="D5" s="1">
        <v>0.88666666666666671</v>
      </c>
      <c r="E5" s="1">
        <v>0.77333333333333343</v>
      </c>
      <c r="F5" s="2">
        <v>0.86</v>
      </c>
    </row>
    <row r="6" spans="1:12" x14ac:dyDescent="0.3">
      <c r="B6" s="1"/>
      <c r="C6" s="1"/>
      <c r="D6" s="1"/>
      <c r="E6" s="1"/>
      <c r="F6" s="1"/>
    </row>
    <row r="7" spans="1:12" x14ac:dyDescent="0.3">
      <c r="A7" t="s">
        <v>5</v>
      </c>
      <c r="B7" s="1">
        <v>0.64333333333333342</v>
      </c>
      <c r="C7" s="2">
        <v>0.53333333333333333</v>
      </c>
      <c r="D7" s="1">
        <v>0.70666666666666667</v>
      </c>
      <c r="E7" s="1">
        <v>0.54666666666666675</v>
      </c>
      <c r="F7" s="2">
        <v>0.76000000000000012</v>
      </c>
      <c r="H7" t="s">
        <v>10</v>
      </c>
    </row>
    <row r="8" spans="1:12" x14ac:dyDescent="0.3">
      <c r="A8" t="s">
        <v>6</v>
      </c>
      <c r="B8" s="1">
        <v>0.68333333333333324</v>
      </c>
      <c r="C8" s="2">
        <v>0.80666666666666664</v>
      </c>
      <c r="D8" s="1">
        <v>0.61</v>
      </c>
      <c r="E8" s="1">
        <v>0.54333333333333333</v>
      </c>
      <c r="F8" s="2">
        <v>0.84666666666666668</v>
      </c>
    </row>
    <row r="9" spans="1:12" x14ac:dyDescent="0.3">
      <c r="A9" t="s">
        <v>8</v>
      </c>
      <c r="B9" s="1">
        <v>0.7466666666666667</v>
      </c>
      <c r="C9" s="2">
        <v>0.51666666666666672</v>
      </c>
      <c r="D9" s="1">
        <v>0.87333333333333341</v>
      </c>
      <c r="E9" s="1">
        <v>0.77</v>
      </c>
      <c r="F9" s="2">
        <v>0.77666666666666673</v>
      </c>
    </row>
    <row r="10" spans="1:12" x14ac:dyDescent="0.3">
      <c r="A10" t="s">
        <v>9</v>
      </c>
      <c r="B10" s="1">
        <v>0.77999999999999992</v>
      </c>
      <c r="C10" s="2">
        <v>0.79</v>
      </c>
      <c r="D10" s="1">
        <v>0.77</v>
      </c>
      <c r="E10" s="1">
        <v>0.66333333333333344</v>
      </c>
      <c r="F10" s="2">
        <v>0.8666666666666667</v>
      </c>
    </row>
    <row r="11" spans="1:12" x14ac:dyDescent="0.3">
      <c r="B11" s="1"/>
      <c r="C11" s="1"/>
      <c r="D11" s="1"/>
      <c r="E11" s="1"/>
      <c r="F11" s="1"/>
      <c r="K11" t="s">
        <v>20</v>
      </c>
      <c r="L11" t="s">
        <v>19</v>
      </c>
    </row>
    <row r="12" spans="1:12" x14ac:dyDescent="0.3">
      <c r="A12" t="s">
        <v>5</v>
      </c>
      <c r="B12" s="1">
        <v>0.69333333333333336</v>
      </c>
      <c r="C12" s="2">
        <v>0.69000000000000006</v>
      </c>
      <c r="D12" s="1">
        <v>0.69666666666666666</v>
      </c>
      <c r="E12" s="1">
        <v>0.51</v>
      </c>
      <c r="F12" s="2">
        <v>0.83</v>
      </c>
      <c r="H12" t="s">
        <v>11</v>
      </c>
      <c r="J12" t="s">
        <v>20</v>
      </c>
      <c r="K12" t="s">
        <v>15</v>
      </c>
      <c r="L12" t="s">
        <v>17</v>
      </c>
    </row>
    <row r="13" spans="1:12" x14ac:dyDescent="0.3">
      <c r="A13" t="s">
        <v>6</v>
      </c>
      <c r="B13" s="1">
        <v>0.71333333333333326</v>
      </c>
      <c r="C13" s="2">
        <v>0.7533333333333333</v>
      </c>
      <c r="D13" s="1">
        <v>0.69333333333333336</v>
      </c>
      <c r="E13" s="1">
        <v>0.53</v>
      </c>
      <c r="F13" s="2">
        <v>0.86</v>
      </c>
      <c r="J13" t="s">
        <v>19</v>
      </c>
      <c r="K13" t="s">
        <v>16</v>
      </c>
      <c r="L13" t="s">
        <v>18</v>
      </c>
    </row>
    <row r="14" spans="1:12" x14ac:dyDescent="0.3">
      <c r="A14" t="s">
        <v>8</v>
      </c>
      <c r="B14" s="1">
        <v>0.75666666666666671</v>
      </c>
      <c r="C14" s="2">
        <v>0.71333333333333337</v>
      </c>
      <c r="D14" s="1">
        <v>0.77666666666666673</v>
      </c>
      <c r="E14" s="1">
        <v>0.59666666666666668</v>
      </c>
      <c r="F14" s="2">
        <v>0.85666666666666658</v>
      </c>
    </row>
    <row r="15" spans="1:12" x14ac:dyDescent="0.3">
      <c r="A15" t="s">
        <v>9</v>
      </c>
      <c r="B15" s="1">
        <v>0.77666666666666673</v>
      </c>
      <c r="C15" s="2">
        <v>0.79</v>
      </c>
      <c r="D15" s="1">
        <v>0.76666666666666661</v>
      </c>
      <c r="E15" s="1">
        <v>0.60666666666666658</v>
      </c>
      <c r="F15" s="2">
        <v>0.89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609F-EEFE-44BD-BD64-C55CB96F22EE}">
  <dimension ref="A1:P15"/>
  <sheetViews>
    <sheetView workbookViewId="0">
      <selection activeCell="J24" sqref="J24"/>
    </sheetView>
  </sheetViews>
  <sheetFormatPr defaultRowHeight="16.2" x14ac:dyDescent="0.3"/>
  <cols>
    <col min="1" max="1" width="13.5546875" bestFit="1" customWidth="1"/>
    <col min="7" max="7" width="9.109375" customWidth="1"/>
  </cols>
  <sheetData>
    <row r="1" spans="1:16" x14ac:dyDescent="0.3">
      <c r="B1" t="s">
        <v>12</v>
      </c>
      <c r="C1" t="s">
        <v>13</v>
      </c>
      <c r="G1" t="s">
        <v>14</v>
      </c>
      <c r="I1">
        <v>42</v>
      </c>
      <c r="L1">
        <v>43</v>
      </c>
      <c r="O1">
        <v>44</v>
      </c>
    </row>
    <row r="2" spans="1:16" x14ac:dyDescent="0.3">
      <c r="A2" t="s">
        <v>5</v>
      </c>
      <c r="B2" s="1">
        <f>AVERAGE(I2,L2,O2)</f>
        <v>12.089999999999998</v>
      </c>
      <c r="C2" s="1">
        <f>AVERAGE(J2,M2,P2)</f>
        <v>10.783333333333333</v>
      </c>
      <c r="E2" t="s">
        <v>7</v>
      </c>
      <c r="G2" s="1">
        <f>_xlfn.STDEV.P(I2,L2,O2)</f>
        <v>7.788880963698594E-2</v>
      </c>
      <c r="I2">
        <v>12.19</v>
      </c>
      <c r="J2">
        <v>10.54</v>
      </c>
      <c r="L2">
        <v>12</v>
      </c>
      <c r="M2">
        <v>10.88</v>
      </c>
      <c r="O2">
        <v>12.08</v>
      </c>
      <c r="P2">
        <v>10.93</v>
      </c>
    </row>
    <row r="3" spans="1:16" x14ac:dyDescent="0.3">
      <c r="A3" t="s">
        <v>6</v>
      </c>
      <c r="B3" s="1">
        <f t="shared" ref="B3:B15" si="0">AVERAGE(I3,L3,O3)</f>
        <v>11.376666666666665</v>
      </c>
      <c r="C3" s="2">
        <f t="shared" ref="C3:C15" si="1">AVERAGE(J3,M3,P3)</f>
        <v>9.9700000000000006</v>
      </c>
      <c r="G3" s="1">
        <f>_xlfn.STDEV.P(I3,L3,O3)</f>
        <v>0.11728408057172755</v>
      </c>
      <c r="I3">
        <v>11.27</v>
      </c>
      <c r="J3">
        <v>9.8000000000000007</v>
      </c>
      <c r="L3">
        <v>11.54</v>
      </c>
      <c r="M3">
        <v>10.119999999999999</v>
      </c>
      <c r="O3">
        <v>11.32</v>
      </c>
      <c r="P3">
        <v>9.99</v>
      </c>
    </row>
    <row r="4" spans="1:16" x14ac:dyDescent="0.3">
      <c r="A4" t="s">
        <v>8</v>
      </c>
      <c r="B4" s="1">
        <f t="shared" si="0"/>
        <v>8.6333333333333329</v>
      </c>
      <c r="C4" s="1">
        <f t="shared" si="1"/>
        <v>6.7366666666666672</v>
      </c>
      <c r="G4" s="1">
        <f t="shared" ref="G4:G15" si="2">_xlfn.STDEV.P(I4,L4,O4)</f>
        <v>4.4969125210773349E-2</v>
      </c>
      <c r="I4">
        <v>8.66</v>
      </c>
      <c r="J4">
        <v>6.63</v>
      </c>
      <c r="L4">
        <v>8.67</v>
      </c>
      <c r="M4">
        <v>6.68</v>
      </c>
      <c r="O4">
        <v>8.57</v>
      </c>
      <c r="P4">
        <v>6.9</v>
      </c>
    </row>
    <row r="5" spans="1:16" x14ac:dyDescent="0.3">
      <c r="A5" t="s">
        <v>9</v>
      </c>
      <c r="B5" s="1">
        <f t="shared" si="0"/>
        <v>8.2533333333333356</v>
      </c>
      <c r="C5" s="1">
        <f t="shared" si="1"/>
        <v>6.3866666666666667</v>
      </c>
      <c r="G5" s="1">
        <f t="shared" si="2"/>
        <v>0.17172329163188343</v>
      </c>
      <c r="I5">
        <v>8.4700000000000006</v>
      </c>
      <c r="J5">
        <v>6.65</v>
      </c>
      <c r="L5">
        <v>8.0500000000000007</v>
      </c>
      <c r="M5">
        <v>6.35</v>
      </c>
      <c r="O5">
        <v>8.24</v>
      </c>
      <c r="P5">
        <v>6.16</v>
      </c>
    </row>
    <row r="6" spans="1:16" x14ac:dyDescent="0.3">
      <c r="B6" s="1"/>
      <c r="C6" s="1"/>
      <c r="G6" s="1"/>
    </row>
    <row r="7" spans="1:16" x14ac:dyDescent="0.3">
      <c r="A7" t="s">
        <v>5</v>
      </c>
      <c r="B7" s="1">
        <f t="shared" si="0"/>
        <v>11.93</v>
      </c>
      <c r="C7" s="1">
        <f t="shared" si="1"/>
        <v>10.69</v>
      </c>
      <c r="E7" t="s">
        <v>10</v>
      </c>
      <c r="G7" s="1">
        <f>_xlfn.STDEV.P(I7,L7,O7)</f>
        <v>7.3484692283495232E-2</v>
      </c>
      <c r="I7">
        <v>11.93</v>
      </c>
      <c r="J7">
        <v>10.73</v>
      </c>
      <c r="L7">
        <v>12.02</v>
      </c>
      <c r="M7">
        <v>10.67</v>
      </c>
      <c r="O7">
        <v>11.84</v>
      </c>
      <c r="P7">
        <v>10.67</v>
      </c>
    </row>
    <row r="8" spans="1:16" x14ac:dyDescent="0.3">
      <c r="A8" t="s">
        <v>6</v>
      </c>
      <c r="B8" s="1">
        <f t="shared" si="0"/>
        <v>11.479999999999999</v>
      </c>
      <c r="C8" s="1">
        <f t="shared" si="1"/>
        <v>10.246666666666666</v>
      </c>
      <c r="G8" s="1">
        <f t="shared" si="2"/>
        <v>0.14719601443879793</v>
      </c>
      <c r="I8">
        <v>11.53</v>
      </c>
      <c r="J8">
        <v>10.38</v>
      </c>
      <c r="L8">
        <v>11.63</v>
      </c>
      <c r="M8">
        <v>10.34</v>
      </c>
      <c r="O8">
        <v>11.28</v>
      </c>
      <c r="P8">
        <v>10.02</v>
      </c>
    </row>
    <row r="9" spans="1:16" x14ac:dyDescent="0.3">
      <c r="A9" t="s">
        <v>8</v>
      </c>
      <c r="B9" s="1">
        <f t="shared" si="0"/>
        <v>9.8633333333333315</v>
      </c>
      <c r="C9" s="1">
        <f t="shared" si="1"/>
        <v>8.2800000000000011</v>
      </c>
      <c r="G9" s="1">
        <f t="shared" si="2"/>
        <v>8.5764535535124406E-2</v>
      </c>
      <c r="I9">
        <v>9.86</v>
      </c>
      <c r="J9">
        <v>8.15</v>
      </c>
      <c r="L9">
        <v>9.76</v>
      </c>
      <c r="M9">
        <v>8.1999999999999993</v>
      </c>
      <c r="O9">
        <v>9.9700000000000006</v>
      </c>
      <c r="P9">
        <v>8.49</v>
      </c>
    </row>
    <row r="10" spans="1:16" x14ac:dyDescent="0.3">
      <c r="A10" t="s">
        <v>9</v>
      </c>
      <c r="B10" s="1">
        <f t="shared" si="0"/>
        <v>8.9833333333333343</v>
      </c>
      <c r="C10" s="1">
        <f t="shared" si="1"/>
        <v>7.3033333333333337</v>
      </c>
      <c r="G10" s="1">
        <f t="shared" si="2"/>
        <v>0.16858891488535746</v>
      </c>
      <c r="I10">
        <v>9.2200000000000006</v>
      </c>
      <c r="J10">
        <v>7.65</v>
      </c>
      <c r="L10">
        <v>8.84</v>
      </c>
      <c r="M10">
        <v>7.21</v>
      </c>
      <c r="O10">
        <v>8.89</v>
      </c>
      <c r="P10">
        <v>7.05</v>
      </c>
    </row>
    <row r="11" spans="1:16" x14ac:dyDescent="0.3">
      <c r="B11" s="1"/>
      <c r="C11" s="1"/>
      <c r="G11" s="1"/>
    </row>
    <row r="12" spans="1:16" x14ac:dyDescent="0.3">
      <c r="A12" t="s">
        <v>5</v>
      </c>
      <c r="B12" s="1">
        <f>AVERAGE(I12,L12,O12)</f>
        <v>12.046666666666667</v>
      </c>
      <c r="C12" s="2">
        <f t="shared" si="1"/>
        <v>10.716666666666669</v>
      </c>
      <c r="E12" t="s">
        <v>11</v>
      </c>
      <c r="G12" s="1">
        <f t="shared" si="2"/>
        <v>0.16499158227686095</v>
      </c>
      <c r="I12">
        <v>12.28</v>
      </c>
      <c r="J12">
        <v>10.82</v>
      </c>
      <c r="L12">
        <v>11.93</v>
      </c>
      <c r="M12">
        <v>10.74</v>
      </c>
      <c r="O12">
        <v>11.93</v>
      </c>
      <c r="P12">
        <v>10.59</v>
      </c>
    </row>
    <row r="13" spans="1:16" x14ac:dyDescent="0.3">
      <c r="A13" t="s">
        <v>6</v>
      </c>
      <c r="B13" s="1">
        <f t="shared" si="0"/>
        <v>11.646666666666667</v>
      </c>
      <c r="C13" s="1">
        <f t="shared" si="1"/>
        <v>10.486666666666666</v>
      </c>
      <c r="G13" s="1">
        <f>_xlfn.STDEV.P(I13,L13,O13)</f>
        <v>9.8432153734889449E-2</v>
      </c>
      <c r="I13">
        <v>11.76</v>
      </c>
      <c r="J13">
        <v>10.67</v>
      </c>
      <c r="L13">
        <v>11.66</v>
      </c>
      <c r="M13">
        <v>10.55</v>
      </c>
      <c r="O13">
        <v>11.52</v>
      </c>
      <c r="P13">
        <v>10.24</v>
      </c>
    </row>
    <row r="14" spans="1:16" x14ac:dyDescent="0.3">
      <c r="A14" t="s">
        <v>8</v>
      </c>
      <c r="B14" s="1">
        <f t="shared" si="0"/>
        <v>10.196666666666667</v>
      </c>
      <c r="C14" s="1">
        <f t="shared" si="1"/>
        <v>8.5566666666666666</v>
      </c>
      <c r="G14" s="1">
        <f t="shared" si="2"/>
        <v>0.11469767022723477</v>
      </c>
      <c r="I14">
        <v>10.210000000000001</v>
      </c>
      <c r="J14">
        <v>8.4700000000000006</v>
      </c>
      <c r="L14">
        <v>10.33</v>
      </c>
      <c r="M14">
        <v>8.9600000000000009</v>
      </c>
      <c r="O14">
        <v>10.050000000000001</v>
      </c>
      <c r="P14">
        <v>8.24</v>
      </c>
    </row>
    <row r="15" spans="1:16" x14ac:dyDescent="0.3">
      <c r="A15" t="s">
        <v>9</v>
      </c>
      <c r="B15" s="1">
        <f t="shared" si="0"/>
        <v>9.6133333333333351</v>
      </c>
      <c r="C15" s="1">
        <f t="shared" si="1"/>
        <v>8.2066666666666652</v>
      </c>
      <c r="G15" s="1">
        <f t="shared" si="2"/>
        <v>0.14267289706021793</v>
      </c>
      <c r="I15">
        <v>9.66</v>
      </c>
      <c r="J15">
        <v>8.36</v>
      </c>
      <c r="L15">
        <v>9.76</v>
      </c>
      <c r="M15">
        <v>8.2899999999999991</v>
      </c>
      <c r="O15">
        <v>9.42</v>
      </c>
      <c r="P15">
        <v>7.97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130E6-4937-493F-9EE9-B696DB9AA21F}">
  <dimension ref="A1:G15"/>
  <sheetViews>
    <sheetView workbookViewId="0">
      <selection activeCell="G13" sqref="G13"/>
    </sheetView>
  </sheetViews>
  <sheetFormatPr defaultRowHeight="16.2" x14ac:dyDescent="0.3"/>
  <cols>
    <col min="1" max="1" width="13.5546875" bestFit="1" customWidth="1"/>
  </cols>
  <sheetData>
    <row r="1" spans="1:7" x14ac:dyDescent="0.3">
      <c r="B1" t="s">
        <v>12</v>
      </c>
      <c r="C1" t="s">
        <v>13</v>
      </c>
      <c r="G1" t="s">
        <v>14</v>
      </c>
    </row>
    <row r="2" spans="1:7" x14ac:dyDescent="0.3">
      <c r="A2" t="s">
        <v>5</v>
      </c>
      <c r="B2" s="2">
        <v>11.893333333333333</v>
      </c>
      <c r="C2" s="2">
        <v>10.756666666666668</v>
      </c>
      <c r="E2" t="s">
        <v>7</v>
      </c>
      <c r="G2">
        <v>0.08</v>
      </c>
    </row>
    <row r="3" spans="1:7" x14ac:dyDescent="0.3">
      <c r="A3" t="s">
        <v>6</v>
      </c>
      <c r="B3" s="2">
        <v>11.37</v>
      </c>
      <c r="C3" s="1">
        <v>10.256666666666668</v>
      </c>
      <c r="G3">
        <v>0.11</v>
      </c>
    </row>
    <row r="4" spans="1:7" x14ac:dyDescent="0.3">
      <c r="A4" t="s">
        <v>8</v>
      </c>
      <c r="B4" s="2">
        <v>8.043333333333333</v>
      </c>
      <c r="C4" s="2">
        <v>5.9666666666666659</v>
      </c>
      <c r="G4">
        <v>0.03</v>
      </c>
    </row>
    <row r="5" spans="1:7" x14ac:dyDescent="0.3">
      <c r="A5" t="s">
        <v>9</v>
      </c>
      <c r="B5" s="2">
        <v>7.753333333333333</v>
      </c>
      <c r="C5" s="2">
        <v>5.9000000000000012</v>
      </c>
      <c r="G5">
        <v>0.06</v>
      </c>
    </row>
    <row r="6" spans="1:7" x14ac:dyDescent="0.3">
      <c r="B6" s="2"/>
      <c r="C6" s="2"/>
    </row>
    <row r="7" spans="1:7" x14ac:dyDescent="0.3">
      <c r="A7" t="s">
        <v>5</v>
      </c>
      <c r="B7" s="2">
        <v>11.676666666666668</v>
      </c>
      <c r="C7" s="2">
        <v>10.656666666666666</v>
      </c>
      <c r="E7" t="s">
        <v>10</v>
      </c>
      <c r="G7">
        <v>0.03</v>
      </c>
    </row>
    <row r="8" spans="1:7" x14ac:dyDescent="0.3">
      <c r="A8" t="s">
        <v>6</v>
      </c>
      <c r="B8" s="2">
        <v>11.090000000000002</v>
      </c>
      <c r="C8" s="2">
        <v>10.053333333333335</v>
      </c>
      <c r="G8">
        <v>0.03</v>
      </c>
    </row>
    <row r="9" spans="1:7" x14ac:dyDescent="0.3">
      <c r="A9" t="s">
        <v>8</v>
      </c>
      <c r="B9" s="2">
        <v>9.0233333333333334</v>
      </c>
      <c r="C9" s="2">
        <v>7.1466666666666656</v>
      </c>
      <c r="G9">
        <v>7.0000000000000007E-2</v>
      </c>
    </row>
    <row r="10" spans="1:7" x14ac:dyDescent="0.3">
      <c r="A10" t="s">
        <v>9</v>
      </c>
      <c r="B10" s="2">
        <v>8.4733333333333345</v>
      </c>
      <c r="C10" s="2">
        <v>6.746666666666667</v>
      </c>
      <c r="G10">
        <v>0.08</v>
      </c>
    </row>
    <row r="11" spans="1:7" x14ac:dyDescent="0.3">
      <c r="B11" s="2"/>
      <c r="C11" s="2"/>
    </row>
    <row r="12" spans="1:7" x14ac:dyDescent="0.3">
      <c r="A12" t="s">
        <v>5</v>
      </c>
      <c r="B12" s="2">
        <v>11.973333333333334</v>
      </c>
      <c r="C12" s="1">
        <v>10.920000000000002</v>
      </c>
      <c r="E12" t="s">
        <v>11</v>
      </c>
      <c r="G12">
        <v>0.14000000000000001</v>
      </c>
    </row>
    <row r="13" spans="1:7" x14ac:dyDescent="0.3">
      <c r="A13" t="s">
        <v>6</v>
      </c>
      <c r="B13" s="2">
        <v>11.450000000000001</v>
      </c>
      <c r="C13" s="2">
        <v>10.36</v>
      </c>
      <c r="G13">
        <v>0.16</v>
      </c>
    </row>
    <row r="14" spans="1:7" x14ac:dyDescent="0.3">
      <c r="A14" t="s">
        <v>8</v>
      </c>
      <c r="B14" s="2">
        <v>9.4866666666666664</v>
      </c>
      <c r="C14" s="2">
        <v>7.6566666666666663</v>
      </c>
      <c r="G14">
        <v>0.1</v>
      </c>
    </row>
    <row r="15" spans="1:7" x14ac:dyDescent="0.3">
      <c r="A15" t="s">
        <v>9</v>
      </c>
      <c r="B15" s="2">
        <v>8.9866666666666664</v>
      </c>
      <c r="C15" s="2">
        <v>7.333333333333333</v>
      </c>
      <c r="G15">
        <v>0.13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CNN classification</vt:lpstr>
      <vt:lpstr>Transformer classification</vt:lpstr>
      <vt:lpstr>CNN regression</vt:lpstr>
      <vt:lpstr>Transformer regression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柏江 施</dc:creator>
  <cp:lastModifiedBy>柏江 施</cp:lastModifiedBy>
  <dcterms:created xsi:type="dcterms:W3CDTF">2024-06-13T05:43:01Z</dcterms:created>
  <dcterms:modified xsi:type="dcterms:W3CDTF">2024-07-18T15:32:25Z</dcterms:modified>
</cp:coreProperties>
</file>