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OneDrive\桌面\專題\"/>
    </mc:Choice>
  </mc:AlternateContent>
  <xr:revisionPtr revIDLastSave="0" documentId="13_ncr:1_{3602C619-29F0-40F6-932F-819888D7100F}" xr6:coauthVersionLast="47" xr6:coauthVersionMax="47" xr10:uidLastSave="{00000000-0000-0000-0000-000000000000}"/>
  <bookViews>
    <workbookView xWindow="-108" yWindow="-108" windowWidth="23256" windowHeight="13176" activeTab="1" xr2:uid="{C01E47AC-F9F1-457B-93B6-ABE541DAD881}"/>
  </bookViews>
  <sheets>
    <sheet name="transformer" sheetId="1" r:id="rId1"/>
    <sheet name="CN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" i="2" l="1"/>
  <c r="S8" i="2"/>
  <c r="P11" i="2"/>
  <c r="P8" i="2"/>
  <c r="M11" i="2"/>
  <c r="M8" i="2"/>
  <c r="J11" i="2"/>
  <c r="J8" i="2"/>
  <c r="G11" i="2"/>
  <c r="G8" i="2"/>
  <c r="D11" i="2"/>
  <c r="D8" i="2"/>
  <c r="D5" i="2"/>
  <c r="G5" i="2"/>
  <c r="J5" i="2"/>
  <c r="M5" i="2"/>
  <c r="P5" i="2"/>
  <c r="S5" i="2"/>
  <c r="S2" i="2"/>
  <c r="P2" i="2"/>
  <c r="M2" i="2"/>
  <c r="J2" i="2"/>
  <c r="G2" i="2"/>
  <c r="D2" i="2"/>
  <c r="D2" i="1"/>
  <c r="S11" i="1"/>
  <c r="S8" i="1"/>
  <c r="S5" i="1"/>
  <c r="P11" i="1"/>
  <c r="P8" i="1"/>
  <c r="P5" i="1"/>
  <c r="M11" i="1"/>
  <c r="M8" i="1"/>
  <c r="M5" i="1"/>
  <c r="J11" i="1"/>
  <c r="J8" i="1"/>
  <c r="J5" i="1"/>
  <c r="G11" i="1"/>
  <c r="G8" i="1"/>
  <c r="G5" i="1"/>
  <c r="D11" i="1"/>
  <c r="D8" i="1"/>
  <c r="D5" i="1"/>
  <c r="S2" i="1"/>
  <c r="P2" i="1"/>
  <c r="M2" i="1"/>
  <c r="J2" i="1"/>
  <c r="G2" i="1"/>
  <c r="D3" i="1"/>
  <c r="P12" i="2"/>
  <c r="P6" i="2"/>
  <c r="S12" i="2"/>
  <c r="S9" i="2"/>
  <c r="S6" i="2"/>
  <c r="S3" i="2"/>
  <c r="P9" i="2"/>
  <c r="P3" i="2"/>
  <c r="M12" i="2"/>
  <c r="M9" i="2"/>
  <c r="M6" i="2"/>
  <c r="M3" i="2"/>
  <c r="J12" i="2"/>
  <c r="J9" i="2"/>
  <c r="J6" i="2"/>
  <c r="J3" i="2"/>
  <c r="G12" i="2"/>
  <c r="G9" i="2"/>
  <c r="G6" i="2"/>
  <c r="G3" i="2"/>
  <c r="D3" i="2"/>
  <c r="D12" i="2"/>
  <c r="D9" i="2"/>
  <c r="D6" i="2"/>
  <c r="G6" i="1"/>
  <c r="G9" i="1"/>
  <c r="G12" i="1"/>
  <c r="G3" i="1"/>
  <c r="D6" i="1"/>
  <c r="D9" i="1"/>
  <c r="D12" i="1"/>
  <c r="S6" i="1"/>
  <c r="S9" i="1"/>
  <c r="S12" i="1"/>
  <c r="S3" i="1"/>
  <c r="P6" i="1"/>
  <c r="P9" i="1"/>
  <c r="P12" i="1"/>
  <c r="P3" i="1"/>
  <c r="M6" i="1"/>
  <c r="M9" i="1"/>
  <c r="M12" i="1"/>
  <c r="M3" i="1"/>
  <c r="J3" i="1"/>
  <c r="J6" i="1"/>
  <c r="J9" i="1"/>
  <c r="J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施柏江</author>
  </authors>
  <commentList>
    <comment ref="D2" authorId="0" shapeId="0" xr:uid="{5E080D2A-6AA1-4F7D-A4DD-BE333632758B}">
      <text>
        <r>
          <rPr>
            <b/>
            <sz val="9"/>
            <color indexed="81"/>
            <rFont val="細明體"/>
            <family val="3"/>
            <charset val="136"/>
          </rPr>
          <t>施柏江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總正確率</t>
        </r>
      </text>
    </comment>
    <comment ref="D3" authorId="0" shapeId="0" xr:uid="{73FC8430-03AA-4A55-840E-456432973570}">
      <text>
        <r>
          <rPr>
            <b/>
            <sz val="9"/>
            <color indexed="81"/>
            <rFont val="細明體"/>
            <family val="3"/>
            <charset val="136"/>
          </rPr>
          <t>施柏江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發生</t>
        </r>
        <r>
          <rPr>
            <sz val="9"/>
            <color indexed="81"/>
            <rFont val="Tahoma"/>
            <family val="2"/>
          </rPr>
          <t>hypo</t>
        </r>
        <r>
          <rPr>
            <sz val="9"/>
            <color indexed="81"/>
            <rFont val="細明體"/>
            <family val="3"/>
            <charset val="136"/>
          </rPr>
          <t>正確率</t>
        </r>
      </text>
    </comment>
  </commentList>
</comments>
</file>

<file path=xl/sharedStrings.xml><?xml version="1.0" encoding="utf-8"?>
<sst xmlns="http://schemas.openxmlformats.org/spreadsheetml/2006/main" count="36" uniqueCount="16">
  <si>
    <t>5min</t>
    <phoneticPr fontId="2" type="noConversion"/>
  </si>
  <si>
    <t>10min</t>
    <phoneticPr fontId="2" type="noConversion"/>
  </si>
  <si>
    <t>15min</t>
    <phoneticPr fontId="2" type="noConversion"/>
  </si>
  <si>
    <t>20min</t>
    <phoneticPr fontId="2" type="noConversion"/>
  </si>
  <si>
    <t>25min</t>
    <phoneticPr fontId="2" type="noConversion"/>
  </si>
  <si>
    <t>30min</t>
    <phoneticPr fontId="2" type="noConversion"/>
  </si>
  <si>
    <t>multi-non</t>
    <phoneticPr fontId="2" type="noConversion"/>
  </si>
  <si>
    <t>non</t>
    <phoneticPr fontId="2" type="noConversion"/>
  </si>
  <si>
    <t>multi-in</t>
    <phoneticPr fontId="2" type="noConversion"/>
  </si>
  <si>
    <t>in</t>
    <phoneticPr fontId="2" type="noConversion"/>
  </si>
  <si>
    <t>0(normal)</t>
  </si>
  <si>
    <t>1(hypo)</t>
  </si>
  <si>
    <t>TN</t>
  </si>
  <si>
    <t>FP</t>
  </si>
  <si>
    <t>FN</t>
  </si>
  <si>
    <t>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</si>
</sst>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9" fontId="0" fillId="0" borderId="0" xfId="0" applyNumberFormat="1">
      <alignment vertical="center"/>
    </xf>
    <xf numFmtId="9" fontId="0" fillId="0" borderId="0" xfId="1" applyFont="1">
      <alignment vertical="center"/>
    </xf>
    <xf numFmtId="9" fontId="0" fillId="2" borderId="0" xfId="0" applyNumberFormat="1" applyFill="1">
      <alignment vertical="center"/>
    </xf>
    <xf numFmtId="9" fontId="0" fillId="2" borderId="0" xfId="1" applyFont="1" applyFill="1">
      <alignment vertical="center"/>
    </xf>
    <xf numFmtId="9" fontId="0" fillId="0" borderId="0" xfId="1" applyFont="1" applyFill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D57C-E04E-4C98-96B3-68C04214D0A6}">
  <dimension ref="A1:S17"/>
  <sheetViews>
    <sheetView workbookViewId="0">
      <selection activeCell="L20" sqref="L20"/>
    </sheetView>
  </sheetViews>
  <sheetFormatPr defaultRowHeight="16.2" x14ac:dyDescent="0.3"/>
  <cols>
    <col min="10" max="10" width="9" customWidth="1"/>
  </cols>
  <sheetData>
    <row r="1" spans="1:19" x14ac:dyDescent="0.3">
      <c r="B1" t="s">
        <v>0</v>
      </c>
      <c r="E1" t="s">
        <v>1</v>
      </c>
      <c r="H1" t="s">
        <v>2</v>
      </c>
      <c r="K1" t="s">
        <v>3</v>
      </c>
      <c r="N1" t="s">
        <v>4</v>
      </c>
      <c r="Q1" t="s">
        <v>5</v>
      </c>
    </row>
    <row r="2" spans="1:19" x14ac:dyDescent="0.3">
      <c r="A2" t="s">
        <v>7</v>
      </c>
      <c r="B2">
        <v>0.36</v>
      </c>
      <c r="C2">
        <v>0.25</v>
      </c>
      <c r="D2" s="2">
        <f>B2+C3</f>
        <v>0.66999999999999993</v>
      </c>
      <c r="E2">
        <v>0.34</v>
      </c>
      <c r="F2">
        <v>0.23</v>
      </c>
      <c r="G2" s="2">
        <f>E2+F3</f>
        <v>0.69</v>
      </c>
      <c r="H2">
        <v>0.43</v>
      </c>
      <c r="I2">
        <v>0.22</v>
      </c>
      <c r="J2" s="2">
        <f>H2+I3</f>
        <v>0.67999999999999994</v>
      </c>
      <c r="K2">
        <v>0.39</v>
      </c>
      <c r="L2">
        <v>0.24</v>
      </c>
      <c r="M2" s="2">
        <f>K2+L3</f>
        <v>0.67</v>
      </c>
      <c r="N2">
        <v>0.43</v>
      </c>
      <c r="O2">
        <v>0.23</v>
      </c>
      <c r="P2" s="2">
        <f>N2+O3</f>
        <v>0.67999999999999994</v>
      </c>
      <c r="Q2">
        <v>0.44</v>
      </c>
      <c r="R2">
        <v>0.24</v>
      </c>
      <c r="S2" s="2">
        <f>Q2+R3</f>
        <v>0.67999999999999994</v>
      </c>
    </row>
    <row r="3" spans="1:19" x14ac:dyDescent="0.3">
      <c r="B3">
        <v>0.08</v>
      </c>
      <c r="C3">
        <v>0.31</v>
      </c>
      <c r="D3" s="3">
        <f>C3/(C3+B3)</f>
        <v>0.79487179487179482</v>
      </c>
      <c r="E3">
        <v>7.0000000000000007E-2</v>
      </c>
      <c r="F3">
        <v>0.35</v>
      </c>
      <c r="G3" s="3">
        <f>F3/(F3+E3)</f>
        <v>0.83333333333333326</v>
      </c>
      <c r="H3">
        <v>0.1</v>
      </c>
      <c r="I3">
        <v>0.25</v>
      </c>
      <c r="J3" s="4">
        <f>I3/(I3+H3)</f>
        <v>0.7142857142857143</v>
      </c>
      <c r="K3">
        <v>0.09</v>
      </c>
      <c r="L3">
        <v>0.28000000000000003</v>
      </c>
      <c r="M3" s="4">
        <f>L3/(L3+K3)</f>
        <v>0.7567567567567568</v>
      </c>
      <c r="N3">
        <v>0.09</v>
      </c>
      <c r="O3">
        <v>0.25</v>
      </c>
      <c r="P3" s="4">
        <f>O3/(O3+N3)</f>
        <v>0.73529411764705888</v>
      </c>
      <c r="Q3">
        <v>0.09</v>
      </c>
      <c r="R3">
        <v>0.24</v>
      </c>
      <c r="S3" s="4">
        <f>R3/(R3+Q3)</f>
        <v>0.72727272727272729</v>
      </c>
    </row>
    <row r="4" spans="1:19" x14ac:dyDescent="0.3">
      <c r="D4" s="1"/>
      <c r="G4" s="1"/>
      <c r="J4" s="2"/>
      <c r="M4" s="2"/>
      <c r="P4" s="2"/>
      <c r="S4" s="2"/>
    </row>
    <row r="5" spans="1:19" x14ac:dyDescent="0.3">
      <c r="A5" t="s">
        <v>6</v>
      </c>
      <c r="B5">
        <v>0.36</v>
      </c>
      <c r="C5">
        <v>0.25</v>
      </c>
      <c r="D5" s="2">
        <f>B5+C6</f>
        <v>0.67999999999999994</v>
      </c>
      <c r="E5">
        <v>0.37</v>
      </c>
      <c r="F5">
        <v>0.2</v>
      </c>
      <c r="G5" s="4">
        <f>E5+F6</f>
        <v>0.7</v>
      </c>
      <c r="H5">
        <v>0.43</v>
      </c>
      <c r="I5">
        <v>0.22</v>
      </c>
      <c r="J5" s="2">
        <f>H5+I6</f>
        <v>0.7</v>
      </c>
      <c r="K5">
        <v>0.42</v>
      </c>
      <c r="L5">
        <v>0.2</v>
      </c>
      <c r="M5" s="4">
        <f>K5+L6</f>
        <v>0.69</v>
      </c>
      <c r="N5">
        <v>0.4</v>
      </c>
      <c r="O5">
        <v>0.25</v>
      </c>
      <c r="P5" s="2">
        <f>N5+O6</f>
        <v>0.69</v>
      </c>
      <c r="Q5">
        <v>0.42</v>
      </c>
      <c r="R5">
        <v>0.25</v>
      </c>
      <c r="S5" s="2">
        <f>Q5+R6</f>
        <v>0.67999999999999994</v>
      </c>
    </row>
    <row r="6" spans="1:19" x14ac:dyDescent="0.3">
      <c r="B6">
        <v>7.0000000000000007E-2</v>
      </c>
      <c r="C6">
        <v>0.32</v>
      </c>
      <c r="D6" s="3">
        <f t="shared" ref="D6:D12" si="0">C6/(C6+B6)</f>
        <v>0.82051282051282048</v>
      </c>
      <c r="E6">
        <v>0.09</v>
      </c>
      <c r="F6">
        <v>0.33</v>
      </c>
      <c r="G6" s="3">
        <f t="shared" ref="G6:G12" si="1">F6/(F6+E6)</f>
        <v>0.7857142857142857</v>
      </c>
      <c r="H6">
        <v>0.08</v>
      </c>
      <c r="I6">
        <v>0.27</v>
      </c>
      <c r="J6" s="4">
        <f t="shared" ref="J6:J12" si="2">I6/(I6+H6)</f>
        <v>0.77142857142857135</v>
      </c>
      <c r="K6">
        <v>0.1</v>
      </c>
      <c r="L6">
        <v>0.27</v>
      </c>
      <c r="M6" s="4">
        <f t="shared" ref="M6:M12" si="3">L6/(L6+K6)</f>
        <v>0.72972972972972983</v>
      </c>
      <c r="N6">
        <v>7.0000000000000007E-2</v>
      </c>
      <c r="O6">
        <v>0.28999999999999998</v>
      </c>
      <c r="P6" s="4">
        <f t="shared" ref="P6:P12" si="4">O6/(O6+N6)</f>
        <v>0.80555555555555558</v>
      </c>
      <c r="Q6">
        <v>7.0000000000000007E-2</v>
      </c>
      <c r="R6">
        <v>0.26</v>
      </c>
      <c r="S6" s="4">
        <f t="shared" ref="S6:S12" si="5">R6/(R6+Q6)</f>
        <v>0.78787878787878785</v>
      </c>
    </row>
    <row r="7" spans="1:19" x14ac:dyDescent="0.3">
      <c r="D7" s="1"/>
      <c r="G7" s="1"/>
      <c r="J7" s="2"/>
      <c r="M7" s="2"/>
      <c r="P7" s="2"/>
      <c r="S7" s="2"/>
    </row>
    <row r="8" spans="1:19" x14ac:dyDescent="0.3">
      <c r="A8" t="s">
        <v>9</v>
      </c>
      <c r="B8">
        <v>0.57999999999999996</v>
      </c>
      <c r="C8">
        <v>0.03</v>
      </c>
      <c r="D8" s="4">
        <f>B8+C9</f>
        <v>0.8899999999999999</v>
      </c>
      <c r="E8">
        <v>0.53</v>
      </c>
      <c r="F8">
        <v>0.04</v>
      </c>
      <c r="G8" s="4">
        <f>E8+F9</f>
        <v>0.85000000000000009</v>
      </c>
      <c r="H8">
        <v>0.62</v>
      </c>
      <c r="I8">
        <v>0.03</v>
      </c>
      <c r="J8" s="4">
        <f>H8+I9</f>
        <v>0.86</v>
      </c>
      <c r="K8">
        <v>0.53</v>
      </c>
      <c r="L8">
        <v>0.1</v>
      </c>
      <c r="M8" s="2">
        <f>K8+L9</f>
        <v>0.8</v>
      </c>
      <c r="N8">
        <v>0.53</v>
      </c>
      <c r="O8">
        <v>0.12</v>
      </c>
      <c r="P8" s="4">
        <f>N8+O9</f>
        <v>0.78</v>
      </c>
      <c r="Q8">
        <v>0.54</v>
      </c>
      <c r="R8">
        <v>0.13</v>
      </c>
      <c r="S8" s="2">
        <f>Q8+R9</f>
        <v>0.77</v>
      </c>
    </row>
    <row r="9" spans="1:19" x14ac:dyDescent="0.3">
      <c r="B9">
        <v>0.08</v>
      </c>
      <c r="C9">
        <v>0.31</v>
      </c>
      <c r="D9" s="3">
        <f t="shared" si="0"/>
        <v>0.79487179487179482</v>
      </c>
      <c r="E9">
        <v>0.11</v>
      </c>
      <c r="F9">
        <v>0.32</v>
      </c>
      <c r="G9" s="3">
        <f t="shared" si="1"/>
        <v>0.7441860465116279</v>
      </c>
      <c r="H9">
        <v>0.11</v>
      </c>
      <c r="I9">
        <v>0.24</v>
      </c>
      <c r="J9" s="5">
        <f t="shared" si="2"/>
        <v>0.68571428571428572</v>
      </c>
      <c r="K9">
        <v>0.1</v>
      </c>
      <c r="L9">
        <v>0.27</v>
      </c>
      <c r="M9" s="4">
        <f t="shared" si="3"/>
        <v>0.72972972972972983</v>
      </c>
      <c r="N9">
        <v>0.1</v>
      </c>
      <c r="O9">
        <v>0.25</v>
      </c>
      <c r="P9" s="4">
        <f t="shared" si="4"/>
        <v>0.7142857142857143</v>
      </c>
      <c r="Q9">
        <v>0.1</v>
      </c>
      <c r="R9">
        <v>0.23</v>
      </c>
      <c r="S9" s="4">
        <f t="shared" si="5"/>
        <v>0.69696969696969702</v>
      </c>
    </row>
    <row r="10" spans="1:19" x14ac:dyDescent="0.3">
      <c r="D10" s="1"/>
      <c r="G10" s="1"/>
      <c r="J10" s="2"/>
      <c r="M10" s="2"/>
      <c r="P10" s="2"/>
      <c r="S10" s="2"/>
    </row>
    <row r="11" spans="1:19" x14ac:dyDescent="0.3">
      <c r="A11" t="s">
        <v>8</v>
      </c>
      <c r="B11">
        <v>0.55000000000000004</v>
      </c>
      <c r="C11">
        <v>0.06</v>
      </c>
      <c r="D11" s="2">
        <f>B11+C12</f>
        <v>0.8600000000000001</v>
      </c>
      <c r="E11">
        <v>0.5</v>
      </c>
      <c r="F11">
        <v>0.08</v>
      </c>
      <c r="G11" s="2">
        <f>E11+F12</f>
        <v>0.84000000000000008</v>
      </c>
      <c r="H11">
        <v>0.56999999999999995</v>
      </c>
      <c r="I11">
        <v>0.08</v>
      </c>
      <c r="J11" s="2">
        <f>H11+I12</f>
        <v>0.84</v>
      </c>
      <c r="K11">
        <v>0.5</v>
      </c>
      <c r="L11">
        <v>0.13</v>
      </c>
      <c r="M11" s="2">
        <f>K11+L12</f>
        <v>0.79</v>
      </c>
      <c r="N11">
        <v>0.5</v>
      </c>
      <c r="O11">
        <v>0.14000000000000001</v>
      </c>
      <c r="P11" s="2">
        <f>N11+O12</f>
        <v>0.78</v>
      </c>
      <c r="Q11">
        <v>0.51</v>
      </c>
      <c r="R11">
        <v>0.16</v>
      </c>
      <c r="S11" s="2">
        <f>Q11+R12</f>
        <v>0.77</v>
      </c>
    </row>
    <row r="12" spans="1:19" x14ac:dyDescent="0.3">
      <c r="B12">
        <v>0.08</v>
      </c>
      <c r="C12">
        <v>0.31</v>
      </c>
      <c r="D12" s="3">
        <f t="shared" si="0"/>
        <v>0.79487179487179482</v>
      </c>
      <c r="E12">
        <v>0.08</v>
      </c>
      <c r="F12">
        <v>0.34</v>
      </c>
      <c r="G12" s="3">
        <f t="shared" si="1"/>
        <v>0.80952380952380953</v>
      </c>
      <c r="H12">
        <v>0.08</v>
      </c>
      <c r="I12">
        <v>0.27</v>
      </c>
      <c r="J12" s="4">
        <f t="shared" si="2"/>
        <v>0.77142857142857135</v>
      </c>
      <c r="K12">
        <v>0.08</v>
      </c>
      <c r="L12">
        <v>0.28999999999999998</v>
      </c>
      <c r="M12" s="4">
        <f t="shared" si="3"/>
        <v>0.78378378378378377</v>
      </c>
      <c r="N12">
        <v>0.08</v>
      </c>
      <c r="O12">
        <v>0.28000000000000003</v>
      </c>
      <c r="P12" s="4">
        <f t="shared" si="4"/>
        <v>0.77777777777777779</v>
      </c>
      <c r="Q12">
        <v>7.0000000000000007E-2</v>
      </c>
      <c r="R12">
        <v>0.26</v>
      </c>
      <c r="S12" s="4">
        <f t="shared" si="5"/>
        <v>0.78787878787878785</v>
      </c>
    </row>
    <row r="15" spans="1:19" x14ac:dyDescent="0.3">
      <c r="J15" t="s">
        <v>10</v>
      </c>
      <c r="K15" t="s">
        <v>11</v>
      </c>
    </row>
    <row r="16" spans="1:19" x14ac:dyDescent="0.3">
      <c r="I16" t="s">
        <v>10</v>
      </c>
      <c r="J16" t="s">
        <v>12</v>
      </c>
      <c r="K16" t="s">
        <v>13</v>
      </c>
    </row>
    <row r="17" spans="9:11" x14ac:dyDescent="0.3">
      <c r="I17" t="s">
        <v>11</v>
      </c>
      <c r="J17" t="s">
        <v>14</v>
      </c>
      <c r="K17" t="s">
        <v>15</v>
      </c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7C7C1-A9F1-442C-B7CB-6956D5AA881B}">
  <dimension ref="A1:S17"/>
  <sheetViews>
    <sheetView tabSelected="1" workbookViewId="0">
      <selection activeCell="M19" sqref="M19"/>
    </sheetView>
  </sheetViews>
  <sheetFormatPr defaultRowHeight="16.2" x14ac:dyDescent="0.3"/>
  <sheetData>
    <row r="1" spans="1:19" x14ac:dyDescent="0.3">
      <c r="B1" t="s">
        <v>0</v>
      </c>
      <c r="E1" t="s">
        <v>1</v>
      </c>
      <c r="H1" t="s">
        <v>2</v>
      </c>
      <c r="K1" t="s">
        <v>3</v>
      </c>
      <c r="N1" t="s">
        <v>4</v>
      </c>
      <c r="Q1" t="s">
        <v>5</v>
      </c>
    </row>
    <row r="2" spans="1:19" x14ac:dyDescent="0.3">
      <c r="A2" t="s">
        <v>7</v>
      </c>
      <c r="B2">
        <v>0.49</v>
      </c>
      <c r="C2">
        <v>0.12</v>
      </c>
      <c r="D2" s="4">
        <f>B2+C3</f>
        <v>0.73</v>
      </c>
      <c r="E2">
        <v>0.48</v>
      </c>
      <c r="F2">
        <v>0.1</v>
      </c>
      <c r="G2" s="4">
        <f>E2+F3</f>
        <v>0.73</v>
      </c>
      <c r="H2">
        <v>0.48</v>
      </c>
      <c r="I2">
        <v>0.17</v>
      </c>
      <c r="J2" s="4">
        <f>H2+I3</f>
        <v>0.72</v>
      </c>
      <c r="K2">
        <v>0.53</v>
      </c>
      <c r="L2">
        <v>0.1</v>
      </c>
      <c r="M2" s="4">
        <f>K2+L3</f>
        <v>0.70000000000000007</v>
      </c>
      <c r="N2">
        <v>0.55000000000000004</v>
      </c>
      <c r="O2">
        <v>0.09</v>
      </c>
      <c r="P2" s="4">
        <f>N2+O3</f>
        <v>0.70000000000000007</v>
      </c>
      <c r="Q2">
        <v>0.51</v>
      </c>
      <c r="R2">
        <v>0.16</v>
      </c>
      <c r="S2" s="4">
        <f>Q2+R3</f>
        <v>0.7</v>
      </c>
    </row>
    <row r="3" spans="1:19" x14ac:dyDescent="0.3">
      <c r="B3">
        <v>0.15</v>
      </c>
      <c r="C3">
        <v>0.24</v>
      </c>
      <c r="D3" s="1">
        <f>C3/(C3+B3)</f>
        <v>0.61538461538461531</v>
      </c>
      <c r="E3">
        <v>0.18</v>
      </c>
      <c r="F3">
        <v>0.25</v>
      </c>
      <c r="G3" s="1">
        <f>F3/(F3+E3)</f>
        <v>0.58139534883720934</v>
      </c>
      <c r="H3">
        <v>0.11</v>
      </c>
      <c r="I3">
        <v>0.24</v>
      </c>
      <c r="J3" s="2">
        <f>I3/(I3+H3)</f>
        <v>0.68571428571428572</v>
      </c>
      <c r="K3">
        <v>0.2</v>
      </c>
      <c r="L3">
        <v>0.17</v>
      </c>
      <c r="M3" s="2">
        <f>L3/(L3+K3)</f>
        <v>0.45945945945945948</v>
      </c>
      <c r="N3">
        <v>0.2</v>
      </c>
      <c r="O3">
        <v>0.15</v>
      </c>
      <c r="P3" s="2">
        <f>O3/(O3+N3)</f>
        <v>0.4285714285714286</v>
      </c>
      <c r="Q3">
        <v>0.14000000000000001</v>
      </c>
      <c r="R3">
        <v>0.19</v>
      </c>
      <c r="S3" s="2">
        <f>R3/(R3+Q3)</f>
        <v>0.57575757575757569</v>
      </c>
    </row>
    <row r="4" spans="1:19" x14ac:dyDescent="0.3">
      <c r="D4" s="1"/>
      <c r="G4" s="1"/>
      <c r="J4" s="2"/>
      <c r="M4" s="2"/>
      <c r="P4" s="2"/>
      <c r="S4" s="2"/>
    </row>
    <row r="5" spans="1:19" x14ac:dyDescent="0.3">
      <c r="A5" t="s">
        <v>6</v>
      </c>
      <c r="B5">
        <v>0.5</v>
      </c>
      <c r="C5">
        <v>0.1</v>
      </c>
      <c r="D5" s="4">
        <f>B5+C6</f>
        <v>0.72</v>
      </c>
      <c r="E5">
        <v>0.53</v>
      </c>
      <c r="F5">
        <v>0.05</v>
      </c>
      <c r="G5" s="2">
        <f>E5+F6</f>
        <v>0.69000000000000006</v>
      </c>
      <c r="H5">
        <v>0.57999999999999996</v>
      </c>
      <c r="I5">
        <v>7.0000000000000007E-2</v>
      </c>
      <c r="J5" s="4">
        <f>H5+I6</f>
        <v>0.74</v>
      </c>
      <c r="K5">
        <v>0.59</v>
      </c>
      <c r="L5">
        <v>0.04</v>
      </c>
      <c r="M5" s="4">
        <f>K5+L6</f>
        <v>0.69</v>
      </c>
      <c r="N5">
        <v>0.54</v>
      </c>
      <c r="O5">
        <v>0.1</v>
      </c>
      <c r="P5" s="4">
        <f>N5+O6</f>
        <v>0.72</v>
      </c>
      <c r="Q5">
        <v>0.55000000000000004</v>
      </c>
      <c r="R5">
        <v>0.13</v>
      </c>
      <c r="S5" s="4">
        <f>Q5+R6</f>
        <v>0.74</v>
      </c>
    </row>
    <row r="6" spans="1:19" x14ac:dyDescent="0.3">
      <c r="B6">
        <v>0.17</v>
      </c>
      <c r="C6">
        <v>0.22</v>
      </c>
      <c r="D6" s="1">
        <f t="shared" ref="D6:D12" si="0">C6/(C6+B6)</f>
        <v>0.5641025641025641</v>
      </c>
      <c r="E6">
        <v>0.27</v>
      </c>
      <c r="F6">
        <v>0.16</v>
      </c>
      <c r="G6" s="1">
        <f t="shared" ref="G6:G12" si="1">F6/(F6+E6)</f>
        <v>0.37209302325581389</v>
      </c>
      <c r="H6">
        <v>0.19</v>
      </c>
      <c r="I6">
        <v>0.16</v>
      </c>
      <c r="J6" s="2">
        <f t="shared" ref="J6:J12" si="2">I6/(I6+H6)</f>
        <v>0.45714285714285718</v>
      </c>
      <c r="K6">
        <v>0.27</v>
      </c>
      <c r="L6">
        <v>0.1</v>
      </c>
      <c r="M6" s="2">
        <f t="shared" ref="M6:M12" si="3">L6/(L6+K6)</f>
        <v>0.27027027027027029</v>
      </c>
      <c r="N6">
        <v>0.17</v>
      </c>
      <c r="O6">
        <v>0.18</v>
      </c>
      <c r="P6" s="2">
        <f>O6/(O6+N6)</f>
        <v>0.51428571428571435</v>
      </c>
      <c r="Q6">
        <v>0.14000000000000001</v>
      </c>
      <c r="R6">
        <v>0.19</v>
      </c>
      <c r="S6" s="2">
        <f t="shared" ref="S6:S12" si="4">R6/(R6+Q6)</f>
        <v>0.57575757575757569</v>
      </c>
    </row>
    <row r="7" spans="1:19" x14ac:dyDescent="0.3">
      <c r="D7" s="1"/>
      <c r="G7" s="1"/>
      <c r="J7" s="2"/>
      <c r="M7" s="2"/>
      <c r="P7" s="2"/>
      <c r="S7" s="2"/>
    </row>
    <row r="8" spans="1:19" x14ac:dyDescent="0.3">
      <c r="A8" t="s">
        <v>9</v>
      </c>
      <c r="B8">
        <v>0.56999999999999995</v>
      </c>
      <c r="C8">
        <v>0.04</v>
      </c>
      <c r="D8" s="2">
        <f>B8+C9</f>
        <v>0.87999999999999989</v>
      </c>
      <c r="E8">
        <v>0.56999999999999995</v>
      </c>
      <c r="F8">
        <v>0.01</v>
      </c>
      <c r="G8" s="4">
        <f>E8+F9</f>
        <v>0.85</v>
      </c>
      <c r="H8">
        <v>0.61</v>
      </c>
      <c r="I8">
        <v>0.04</v>
      </c>
      <c r="J8" s="4">
        <f>H8+I9</f>
        <v>0.86</v>
      </c>
      <c r="K8">
        <v>0.6</v>
      </c>
      <c r="L8">
        <v>0.03</v>
      </c>
      <c r="M8" s="4">
        <f>K8+L9</f>
        <v>0.83</v>
      </c>
      <c r="N8">
        <v>0.6</v>
      </c>
      <c r="O8">
        <v>0.04</v>
      </c>
      <c r="P8" s="4">
        <f>N8+O9</f>
        <v>0.78</v>
      </c>
      <c r="Q8">
        <v>0.57999999999999996</v>
      </c>
      <c r="R8">
        <v>0.09</v>
      </c>
      <c r="S8" s="4">
        <f>Q8+R9</f>
        <v>0.78</v>
      </c>
    </row>
    <row r="9" spans="1:19" x14ac:dyDescent="0.3">
      <c r="B9">
        <v>0.08</v>
      </c>
      <c r="C9">
        <v>0.31</v>
      </c>
      <c r="D9" s="3">
        <f t="shared" si="0"/>
        <v>0.79487179487179482</v>
      </c>
      <c r="E9">
        <v>0.14000000000000001</v>
      </c>
      <c r="F9">
        <v>0.28000000000000003</v>
      </c>
      <c r="G9" s="1">
        <f t="shared" si="1"/>
        <v>0.66666666666666663</v>
      </c>
      <c r="H9">
        <v>0.1</v>
      </c>
      <c r="I9">
        <v>0.25</v>
      </c>
      <c r="J9" s="4">
        <f t="shared" si="2"/>
        <v>0.7142857142857143</v>
      </c>
      <c r="K9">
        <v>0.14000000000000001</v>
      </c>
      <c r="L9">
        <v>0.23</v>
      </c>
      <c r="M9" s="2">
        <f t="shared" si="3"/>
        <v>0.6216216216216216</v>
      </c>
      <c r="N9">
        <v>0.18</v>
      </c>
      <c r="O9">
        <v>0.18</v>
      </c>
      <c r="P9" s="2">
        <f t="shared" ref="P9" si="5">O9/(O9+N9)</f>
        <v>0.5</v>
      </c>
      <c r="Q9">
        <v>0.13</v>
      </c>
      <c r="R9">
        <v>0.2</v>
      </c>
      <c r="S9" s="2">
        <f t="shared" si="4"/>
        <v>0.60606060606060608</v>
      </c>
    </row>
    <row r="10" spans="1:19" x14ac:dyDescent="0.3">
      <c r="D10" s="1"/>
      <c r="G10" s="1"/>
      <c r="J10" s="2"/>
      <c r="M10" s="2"/>
      <c r="P10" s="2"/>
      <c r="S10" s="2"/>
    </row>
    <row r="11" spans="1:19" x14ac:dyDescent="0.3">
      <c r="A11" t="s">
        <v>8</v>
      </c>
      <c r="B11">
        <v>0.57999999999999996</v>
      </c>
      <c r="C11">
        <v>0.03</v>
      </c>
      <c r="D11" s="4">
        <f>B11+C12</f>
        <v>0.87999999999999989</v>
      </c>
      <c r="E11">
        <v>0.55000000000000004</v>
      </c>
      <c r="F11">
        <v>0.03</v>
      </c>
      <c r="G11" s="4">
        <f>E11+F12</f>
        <v>0.85000000000000009</v>
      </c>
      <c r="H11">
        <v>0.63</v>
      </c>
      <c r="I11">
        <v>0.02</v>
      </c>
      <c r="J11" s="4">
        <f>H11+I12</f>
        <v>0.86</v>
      </c>
      <c r="K11">
        <v>0.59</v>
      </c>
      <c r="L11">
        <v>0.04</v>
      </c>
      <c r="M11" s="4">
        <f>K11+L12</f>
        <v>0.82</v>
      </c>
      <c r="N11">
        <v>0.56000000000000005</v>
      </c>
      <c r="O11">
        <v>0.09</v>
      </c>
      <c r="P11" s="4">
        <f>N11+O12</f>
        <v>0.79</v>
      </c>
      <c r="Q11">
        <v>0.62</v>
      </c>
      <c r="R11">
        <v>0.05</v>
      </c>
      <c r="S11" s="4">
        <f>Q11+R12</f>
        <v>0.78</v>
      </c>
    </row>
    <row r="12" spans="1:19" x14ac:dyDescent="0.3">
      <c r="B12">
        <v>0.09</v>
      </c>
      <c r="C12">
        <v>0.3</v>
      </c>
      <c r="D12" s="1">
        <f t="shared" si="0"/>
        <v>0.76923076923076916</v>
      </c>
      <c r="E12">
        <v>0.12</v>
      </c>
      <c r="F12">
        <v>0.3</v>
      </c>
      <c r="G12" s="1">
        <f t="shared" si="1"/>
        <v>0.7142857142857143</v>
      </c>
      <c r="H12">
        <v>0.12</v>
      </c>
      <c r="I12">
        <v>0.23</v>
      </c>
      <c r="J12" s="2">
        <f t="shared" si="2"/>
        <v>0.65714285714285725</v>
      </c>
      <c r="K12">
        <v>0.14000000000000001</v>
      </c>
      <c r="L12">
        <v>0.23</v>
      </c>
      <c r="M12" s="2">
        <f t="shared" si="3"/>
        <v>0.6216216216216216</v>
      </c>
      <c r="N12">
        <v>0.13</v>
      </c>
      <c r="O12">
        <v>0.23</v>
      </c>
      <c r="P12" s="2">
        <f>O12/(O12+N12)</f>
        <v>0.63888888888888895</v>
      </c>
      <c r="Q12">
        <v>0.17</v>
      </c>
      <c r="R12">
        <v>0.16</v>
      </c>
      <c r="S12" s="2">
        <f t="shared" si="4"/>
        <v>0.48484848484848486</v>
      </c>
    </row>
    <row r="15" spans="1:19" x14ac:dyDescent="0.3">
      <c r="J15" t="s">
        <v>10</v>
      </c>
      <c r="K15" t="s">
        <v>11</v>
      </c>
    </row>
    <row r="16" spans="1:19" x14ac:dyDescent="0.3">
      <c r="I16" t="s">
        <v>10</v>
      </c>
      <c r="J16" t="s">
        <v>12</v>
      </c>
      <c r="K16" t="s">
        <v>13</v>
      </c>
    </row>
    <row r="17" spans="9:11" x14ac:dyDescent="0.3">
      <c r="I17" t="s">
        <v>11</v>
      </c>
      <c r="J17" t="s">
        <v>14</v>
      </c>
      <c r="K17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transformer</vt:lpstr>
      <vt:lpstr>CNN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柏江 施</dc:creator>
  <cp:lastModifiedBy>柏江 施</cp:lastModifiedBy>
  <dcterms:created xsi:type="dcterms:W3CDTF">2024-06-29T13:01:46Z</dcterms:created>
  <dcterms:modified xsi:type="dcterms:W3CDTF">2024-07-15T16:01:36Z</dcterms:modified>
</cp:coreProperties>
</file>